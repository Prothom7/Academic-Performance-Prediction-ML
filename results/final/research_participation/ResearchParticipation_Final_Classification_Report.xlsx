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fd423cda7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 Report" sheetId="1" r:id="Rb923ec5b3ec0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i/>
      <x:sz val="11"/>
      <x:color rgb="FF44546A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402a107634d92" /><Relationship Type="http://schemas.openxmlformats.org/officeDocument/2006/relationships/theme" Target="/xl/theme/theme1.xml" Id="R58beb0142d874311" /><Relationship Type="http://schemas.openxmlformats.org/officeDocument/2006/relationships/sharedStrings" Target="/xl/sharedStrings.xml" Id="R60b01691e8a243d5" /><Relationship Type="http://schemas.openxmlformats.org/officeDocument/2006/relationships/worksheet" Target="/xl/worksheets/sheet1.xml" Id="Rb923ec5b3ec045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6" hidden="0" customWidth="1"/>
    <x:col min="4" max="4" width="17" hidden="0" customWidth="1"/>
    <x:col min="5" max="5" width="12" hidden="0" customWidth="1"/>
    <x:col min="6" max="6" width="34" hidden="0" customWidth="1"/>
    <x:col min="7" max="7" width="16" hidden="0" customWidth="1"/>
  </x:cols>
  <x:sheetData>
    <x:row r="1" ht="28" customHeight="1">
      <x:c r="A1" s="5" t="str">
        <x:v>Research Participation — Final Classification Report</x:v>
      </x:c>
      <x:c r="B1" s="5"/>
      <x:c r="C1" s="5"/>
      <x:c r="D1" s="5"/>
      <x:c r="E1" s="5"/>
      <x:c r="F1" s="5"/>
      <x:c r="G1" s="5"/>
    </x:row>
    <x:row r="2">
      <x:c r="A2" s="18" t="str">
        <x:v>Frozen model</x:v>
      </x:c>
      <x:c r="B2" s="18" t="str">
        <x:v>RandomForest</x:v>
      </x:c>
      <x:c r="C2" s="18" t="str">
        <x:v>Training instances</x:v>
      </x:c>
      <x:c r="D2" s="18" t="n">
        <x:v>2953</x:v>
      </x:c>
      <x:c r="E2" s="18" t="str">
        <x:v>Final test instances</x:v>
      </x:c>
      <x:c r="F2" s="18" t="n">
        <x:v>522</x:v>
      </x:c>
      <x:c r="G2" s="18" t="str">
        <x:v>Positive class: Participated</x:v>
      </x:c>
    </x:row>
    <x:row r="3">
      <x:c r="A3" s="18" t="str">
        <x:v>WEKA options</x:v>
      </x:c>
      <x:c r="B3" s="18" t="str">
        <x:v>-P 100 -I 100 -K 12 -M 1.0 -V 0.001 -S 1</x:v>
      </x:c>
      <x:c r="C3" s="18" t="str">
        <x:v>Protocol</x:v>
      </x:c>
      <x:c r="D3" s="18" t="str">
        <x:v>Train+Validation → locked Test</x:v>
      </x:c>
      <x:c r="E3" s="18" t="str">
        <x:v>Status</x:v>
      </x:c>
      <x:c r="F3" s="18" t="str">
        <x:v>Final / no further tuning</x:v>
      </x:c>
      <x:c r="G3" s="18" t="str"/>
    </x:row>
    <x:row r="5">
      <x:c r="A5" s="44" t="str">
        <x:v>Class</x:v>
      </x:c>
      <x:c r="B5" s="44" t="str">
        <x:v>Precision</x:v>
      </x:c>
      <x:c r="C5" s="44" t="str">
        <x:v>Recall</x:v>
      </x:c>
      <x:c r="D5" s="44" t="str">
        <x:v>F1-score</x:v>
      </x:c>
      <x:c r="E5" s="44" t="str">
        <x:v>Support</x:v>
      </x:c>
      <x:c r="F5" s="44" t="str">
        <x:v>ROC-AUC</x:v>
      </x:c>
      <x:c r="G5" s="44" t="str">
        <x:v>PRC-AUC</x:v>
      </x:c>
    </x:row>
    <x:row r="6">
      <x:c r="A6" s="18" t="str">
        <x:v>NotParticipated</x:v>
      </x:c>
      <x:c r="B6" s="45" t="n">
        <x:v>0.813</x:v>
      </x:c>
      <x:c r="C6" s="45" t="n">
        <x:v>0.917</x:v>
      </x:c>
      <x:c r="D6" s="45" t="n">
        <x:v>0.862</x:v>
      </x:c>
      <x:c r="E6" s="46" t="n">
        <x:v>336</x:v>
      </x:c>
      <x:c r="F6" s="45" t="n">
        <x:v>0.879</x:v>
      </x:c>
      <x:c r="G6" s="45" t="n">
        <x:v>0.928</x:v>
      </x:c>
    </x:row>
    <x:row r="7">
      <x:c r="A7" s="47" t="str">
        <x:v>Participated</x:v>
      </x:c>
      <x:c r="B7" s="48" t="n">
        <x:v>0.804</x:v>
      </x:c>
      <x:c r="C7" s="48" t="n">
        <x:v>0.618</x:v>
      </x:c>
      <x:c r="D7" s="48" t="n">
        <x:v>0.699</x:v>
      </x:c>
      <x:c r="E7" s="49" t="n">
        <x:v>186</x:v>
      </x:c>
      <x:c r="F7" s="48" t="n">
        <x:v>0.879</x:v>
      </x:c>
      <x:c r="G7" s="48" t="n">
        <x:v>0.827</x:v>
      </x:c>
    </x:row>
    <x:row r="8">
      <x:c r="A8" s="18" t="str">
        <x:v>Weighted Avg.</x:v>
      </x:c>
      <x:c r="B8" s="45" t="n">
        <x:v>0.81</x:v>
      </x:c>
      <x:c r="C8" s="45" t="n">
        <x:v>0.81</x:v>
      </x:c>
      <x:c r="D8" s="45" t="n">
        <x:v>0.804</x:v>
      </x:c>
      <x:c r="E8" s="46" t="n">
        <x:v>522</x:v>
      </x:c>
      <x:c r="F8" s="45" t="n">
        <x:v>0.879</x:v>
      </x:c>
      <x:c r="G8" s="45" t="n">
        <x:v>0.892</x:v>
      </x:c>
    </x:row>
    <x:row r="10">
      <x:c r="A10" s="44" t="str">
        <x:v>Overall metric</x:v>
      </x:c>
      <x:c r="B10" s="44" t="str">
        <x:v>Value</x:v>
      </x:c>
      <x:c r="C10" s="44" t="str">
        <x:v>Definition / note</x:v>
      </x:c>
      <x:c r="D10" s="44" t="str">
        <x:v>Source</x:v>
      </x:c>
      <x:c r="F10" s="44" t="str">
        <x:v>Confusion count</x:v>
      </x:c>
      <x:c r="G10" s="44" t="str">
        <x:v>Value</x:v>
      </x:c>
    </x:row>
    <x:row r="11">
      <x:c r="A11" s="56" t="str">
        <x:v>Accuracy</x:v>
      </x:c>
      <x:c r="B11" s="57" t="n">
        <x:v>0.810345</x:v>
      </x:c>
      <x:c r="C11" s="18" t="str">
        <x:v>423 / 522 correctly classified</x:v>
      </x:c>
      <x:c r="D11" s="18" t="str">
        <x:v>WEKA final Test</x:v>
      </x:c>
      <x:c r="F11" s="18" t="str">
        <x:v>TN: NotParticipated → NotParticipated</x:v>
      </x:c>
      <x:c r="G11" s="18" t="n">
        <x:v>308</x:v>
      </x:c>
    </x:row>
    <x:row r="12">
      <x:c r="A12" s="18" t="str">
        <x:v>Error rate</x:v>
      </x:c>
      <x:c r="B12" s="58" t="n">
        <x:f>1-B11</x:f>
        <x:v>0.18965500000000002</x:v>
      </x:c>
      <x:c r="C12" s="18" t="str">
        <x:v>1 - Accuracy</x:v>
      </x:c>
      <x:c r="D12" s="18" t="str">
        <x:v>Derived</x:v>
      </x:c>
      <x:c r="F12" s="18" t="str">
        <x:v>FP: NotParticipated → Participated</x:v>
      </x:c>
      <x:c r="G12" s="18" t="n">
        <x:v>28</x:v>
      </x:c>
    </x:row>
    <x:row r="13">
      <x:c r="A13" s="18" t="str">
        <x:v>Kappa</x:v>
      </x:c>
      <x:c r="B13" s="58" t="n">
        <x:v>0.5641</x:v>
      </x:c>
      <x:c r="C13" s="18" t="str">
        <x:v>Cohen's kappa</x:v>
      </x:c>
      <x:c r="D13" s="18" t="str">
        <x:v>WEKA final Test</x:v>
      </x:c>
      <x:c r="F13" s="18" t="str">
        <x:v>FN: Participated → NotParticipated</x:v>
      </x:c>
      <x:c r="G13" s="18" t="n">
        <x:v>71</x:v>
      </x:c>
    </x:row>
    <x:row r="14">
      <x:c r="A14" s="18" t="str">
        <x:v>MCC</x:v>
      </x:c>
      <x:c r="B14" s="58" t="n">
        <x:v>0.574</x:v>
      </x:c>
      <x:c r="C14" s="18" t="str">
        <x:v>Matthews correlation coefficient</x:v>
      </x:c>
      <x:c r="D14" s="18" t="str">
        <x:v>WEKA final Test</x:v>
      </x:c>
      <x:c r="F14" s="18" t="str">
        <x:v>TP: Participated → Participated</x:v>
      </x:c>
      <x:c r="G14" s="18" t="n">
        <x:v>115</x:v>
      </x:c>
    </x:row>
    <x:row r="15">
      <x:c r="A15" s="18" t="str">
        <x:v>Balanced accuracy</x:v>
      </x:c>
      <x:c r="B15" s="58" t="n">
        <x:f>AVERAGE(C6:C7)</x:f>
        <x:v>0.7675000000000001</x:v>
      </x:c>
      <x:c r="C15" s="18" t="str">
        <x:v>Mean recall of both classes</x:v>
      </x:c>
      <x:c r="D15" s="18" t="str">
        <x:v>Derived</x:v>
      </x:c>
      <x:c r="F15" s="18" t="str">
        <x:v>Total</x:v>
      </x:c>
      <x:c r="G15" s="18" t="n">
        <x:v>522</x:v>
      </x:c>
    </x:row>
    <x:row r="16">
      <x:c r="A16" s="18" t="str">
        <x:v>MAE</x:v>
      </x:c>
      <x:c r="B16" s="58" t="n">
        <x:v>0.2936</x:v>
      </x:c>
      <x:c r="C16" s="18" t="str">
        <x:v>Mean absolute error</x:v>
      </x:c>
      <x:c r="D16" s="18" t="str">
        <x:v>WEKA final Test</x:v>
      </x:c>
    </x:row>
    <x:row r="17">
      <x:c r="A17" s="18" t="str">
        <x:v>RMSE</x:v>
      </x:c>
      <x:c r="B17" s="58" t="n">
        <x:v>0.365</x:v>
      </x:c>
      <x:c r="C17" s="18" t="str">
        <x:v>Root mean squared error</x:v>
      </x:c>
      <x:c r="D17" s="18" t="str">
        <x:v>WEKA final Test</x:v>
      </x:c>
    </x:row>
    <x:row r="18">
      <x:c r="A18" s="59" t="str">
        <x:v>Participated F1</x:v>
      </x:c>
      <x:c r="B18" s="60" t="n">
        <x:v>0.699</x:v>
      </x:c>
      <x:c r="C18" s="18" t="str">
        <x:v>Frozen primary model-selection metric</x:v>
      </x:c>
      <x:c r="D18" s="18" t="str">
        <x:v>WEKA final Test</x:v>
      </x:c>
    </x:row>
    <x:row r="20" ht="42" customHeight="1">
      <x:c r="A20" s="21" t="str">
        <x:v>Interpretation note: feature importance and predictive performance indicate association, not causation. The locked Test set was used only after model selection and hyperparameter freezing.</x:v>
      </x:c>
      <x:c r="B20" s="21"/>
      <x:c r="C20" s="21"/>
      <x:c r="D20" s="21"/>
      <x:c r="E20" s="21"/>
      <x:c r="F20" s="21"/>
      <x:c r="G20" s="21"/>
    </x:row>
  </x:sheetData>
  <x:mergeCells>
    <x:mergeCell ref="A1:G1"/>
    <x:mergeCell ref="A20:G20"/>
  </x:mergeCells>
  <x:pageMargins left="0.7" right="0.7" top="0.75" bottom="0.75" header="0.3" footer="0.3"/>
</x:worksheet>
</file>